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isk Register" sheetId="2" state="visible" r:id="rId4"/>
    <sheet name="Treatment Plan" sheetId="3" state="visible" r:id="rId5"/>
    <sheet name="Heat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<sst xmlns="http://schemas.openxmlformats.org/spreadsheetml/2006/main" count="346" uniqueCount="274">
  <si>
    <t xml:space="preserve">CTFCU Quantitative Risk Register</t>
  </si>
  <si>
    <t xml:space="preserve">Prepared by Giuseppe Scalzo  ·  ISO 27001 Lead Auditor  ·  GRC Capstone Engagement</t>
  </si>
  <si>
    <t xml:space="preserve">Purpose</t>
  </si>
  <si>
    <t xml:space="preserve">Authoritative record of all identified information security risks at CTFCU. Each risk is scored, owned, treated, and reviewed quarterly.</t>
  </si>
  <si>
    <t xml:space="preserve">Framework</t>
  </si>
  <si>
    <t xml:space="preserve">ISO/IEC 27001:2022 Clause 6.1 (Risk Treatment), aligned to NIST SP 800-30 and ISO/IEC 27005.</t>
  </si>
  <si>
    <t xml:space="preserve">Scoring</t>
  </si>
  <si>
    <t xml:space="preserve">Likelihood (1–5) × Impact (1–5). Residual = score after existing controls. Inherent = score with no controls.</t>
  </si>
  <si>
    <t xml:space="preserve">Risk Levels</t>
  </si>
  <si>
    <t xml:space="preserve">1–2 Very Low  |  3–4 Low  |  5–9 Medium  |  10–14 High  |  15–19 Very High  |  20–25 Critical</t>
  </si>
  <si>
    <t xml:space="preserve">Sheets in this Workbook</t>
  </si>
  <si>
    <t xml:space="preserve">• Risk Register</t>
  </si>
  <si>
    <t xml:space="preserve">All 15 identified risks with full scoring, ownership, controls, and treatment</t>
  </si>
  <si>
    <t xml:space="preserve">• Treatment Plan</t>
  </si>
  <si>
    <t xml:space="preserve">Action plan and cost roll-up for risks above appetite</t>
  </si>
  <si>
    <t xml:space="preserve">• Heatmap</t>
  </si>
  <si>
    <t xml:space="preserve">Visual 5×5 likelihood-by-impact matrix</t>
  </si>
  <si>
    <t xml:space="preserve">Engagement Context</t>
  </si>
  <si>
    <t xml:space="preserve">Cumberland Trust Federal Credit Union — $2B regional credit union (TN/KY/AL). Phishing incident Q1 2026 triggered NCUA examination findings and a Board-authorized 18-month GRC program build aligned to NIST CSF 2.0 and ISO 27001:2022.</t>
  </si>
  <si>
    <t xml:space="preserve">Risk ID</t>
  </si>
  <si>
    <t xml:space="preserve">Risk Title</t>
  </si>
  <si>
    <t xml:space="preserve">Category</t>
  </si>
  <si>
    <t xml:space="preserve">Asset(s) Affected</t>
  </si>
  <si>
    <t xml:space="preserve">Threat</t>
  </si>
  <si>
    <t xml:space="preserve">Vulnerability</t>
  </si>
  <si>
    <t xml:space="preserve">Inherent L</t>
  </si>
  <si>
    <t xml:space="preserve">Inherent I</t>
  </si>
  <si>
    <t xml:space="preserve">Inherent Score</t>
  </si>
  <si>
    <t xml:space="preserve">Existing Controls</t>
  </si>
  <si>
    <t xml:space="preserve">Residual L</t>
  </si>
  <si>
    <t xml:space="preserve">Residual I</t>
  </si>
  <si>
    <t xml:space="preserve">Residual Score</t>
  </si>
  <si>
    <t xml:space="preserve">Residual Rating</t>
  </si>
  <si>
    <t xml:space="preserve">Risk Owner</t>
  </si>
  <si>
    <t xml:space="preserve">Treatment Decision</t>
  </si>
  <si>
    <t xml:space="preserve">Treatment Action</t>
  </si>
  <si>
    <t xml:space="preserve">Annex A Controls</t>
  </si>
  <si>
    <t xml:space="preserve">CSF Subcategories</t>
  </si>
  <si>
    <t xml:space="preserve">R-01</t>
  </si>
  <si>
    <t xml:space="preserve">Ransomware Attack on Production Systems</t>
  </si>
  <si>
    <t xml:space="preserve">Cyber — Avail+Conf</t>
  </si>
  <si>
    <t xml:space="preserve">Tier 1 &amp; 2 systems; data warehouse; backups</t>
  </si>
  <si>
    <t xml:space="preserve">T-D1 Ransomware; T-I1 Data Exfiltration</t>
  </si>
  <si>
    <t xml:space="preserve">Inconsistent patching; MFA gaps on admin; no SIEM</t>
  </si>
  <si>
    <t xml:space="preserve">Defender for Endpoint; daily backup; weekly offline copy</t>
  </si>
  <si>
    <t xml:space="preserve">CIO</t>
  </si>
  <si>
    <t xml:space="preserve">Mitigate</t>
  </si>
  <si>
    <t xml:space="preserve">Deploy SIEM (M8); enforce MFA admin (M5); immutable backups (M6); phishing-resistant MFA (M10)</t>
  </si>
  <si>
    <t xml:space="preserve">A.5.7, A.5.23, A.5.24, A.8.7, A.8.8, A.8.13, A.8.16</t>
  </si>
  <si>
    <t xml:space="preserve">PR.AA, PR.DS, PR.IR, DE.CM, RS.CO, RC.RP</t>
  </si>
  <si>
    <t xml:space="preserve">R-02</t>
  </si>
  <si>
    <t xml:space="preserve">Insider Threat — Privileged User Abuse</t>
  </si>
  <si>
    <t xml:space="preserve">Cyber+Behavioral</t>
  </si>
  <si>
    <t xml:space="preserve">Core banking; member master data; HRIS</t>
  </si>
  <si>
    <t xml:space="preserve">T-E4 Privilege abuse; T-I6 Insider exfiltration</t>
  </si>
  <si>
    <t xml:space="preserve">No JML process; no access reviews; no UEBA</t>
  </si>
  <si>
    <t xml:space="preserve">Background checks; basic logging on core systems</t>
  </si>
  <si>
    <t xml:space="preserve">CIO + HR</t>
  </si>
  <si>
    <t xml:space="preserve">PAM platform (M9); quarterly access reviews (M4); UEBA via SIEM (M10); BTAT activation (M3)</t>
  </si>
  <si>
    <t xml:space="preserve">A.5.15, A.5.16, A.5.18, A.6.2, A.6.7, A.8.2, A.8.18</t>
  </si>
  <si>
    <t xml:space="preserve">GV.OC, GV.RR, PR.AA, DE.CM</t>
  </si>
  <si>
    <t xml:space="preserve">R-03</t>
  </si>
  <si>
    <t xml:space="preserve">Backup Failure During Recovery</t>
  </si>
  <si>
    <t xml:space="preserve">Cyber — Availability</t>
  </si>
  <si>
    <t xml:space="preserve">Backup repository; recovery capability</t>
  </si>
  <si>
    <t xml:space="preserve">T-D1 Ransomware; T-T4 Backup tampering</t>
  </si>
  <si>
    <t xml:space="preserve">Backups on prod domain; no offline copy; restore not tested</t>
  </si>
  <si>
    <t xml:space="preserve">Daily backup; weekly offline copy</t>
  </si>
  <si>
    <t xml:space="preserve">IT Ops Mgr</t>
  </si>
  <si>
    <t xml:space="preserve">Immutable backup tier (M6); quarterly restore drill (M7); air-gapped Tier 1 (M8)</t>
  </si>
  <si>
    <t xml:space="preserve">A.8.13, A.8.14</t>
  </si>
  <si>
    <t xml:space="preserve">PR.DS-11, RC.RP-2</t>
  </si>
  <si>
    <t xml:space="preserve">R-04</t>
  </si>
  <si>
    <t xml:space="preserve">Phishing-Driven Credential Compromise</t>
  </si>
  <si>
    <t xml:space="preserve">Cyber — Conf+Integrity</t>
  </si>
  <si>
    <t xml:space="preserve">Employee identities; M365 tenant; SSO downstream</t>
  </si>
  <si>
    <t xml:space="preserve">T-S1 Phishing; T-S4 BEC</t>
  </si>
  <si>
    <t xml:space="preserve">Inconsistent MFA on admin; informal training; no simulation</t>
  </si>
  <si>
    <t xml:space="preserve">MFA on online banking; M365 spam filter</t>
  </si>
  <si>
    <t xml:space="preserve">InfoSec Mgr</t>
  </si>
  <si>
    <t xml:space="preserve">MFA all admin (M5); phishing-resistant MFA pilot (M10); monthly phishing sim (M4); awareness platform (M4); Defender for Office 365 (M4)</t>
  </si>
  <si>
    <t xml:space="preserve">A.6.3, A.8.5, A.8.16</t>
  </si>
  <si>
    <t xml:space="preserve">PR.AA, PR.AT, DE.CM</t>
  </si>
  <si>
    <t xml:space="preserve">R-05</t>
  </si>
  <si>
    <t xml:space="preserve">GLBA Safeguards Rule Non-Compliance</t>
  </si>
  <si>
    <t xml:space="preserve">Compliance</t>
  </si>
  <si>
    <t xml:space="preserve">Member NPI; compliance posture</t>
  </si>
  <si>
    <t xml:space="preserve">Regulatory action; civil penalties</t>
  </si>
  <si>
    <t xml:space="preserve">No formal infosec program; no Qualified Individual</t>
  </si>
  <si>
    <t xml:space="preserve">None specific to GLBA Safeguards</t>
  </si>
  <si>
    <t xml:space="preserve">Compliance Officer + CIO</t>
  </si>
  <si>
    <t xml:space="preserve">Complete ISMS by M6; GLBA crosswalk M4; designate Qualified Individual M3</t>
  </si>
  <si>
    <t xml:space="preserve">A.5.1, A.5.31, A.5.32, A.5.34</t>
  </si>
  <si>
    <t xml:space="preserve">GV.OC, GV.PO, GV.OV</t>
  </si>
  <si>
    <t xml:space="preserve">R-06</t>
  </si>
  <si>
    <t xml:space="preserve">Open NCUA Document of Resolution Items</t>
  </si>
  <si>
    <t xml:space="preserve">Regulatory</t>
  </si>
  <si>
    <t xml:space="preserve">Regulatory standing</t>
  </si>
  <si>
    <t xml:space="preserve">Escalated NCUA enforcement; CAMELS impact</t>
  </si>
  <si>
    <t xml:space="preserve">Six open DOR items from May 2026 examination</t>
  </si>
  <si>
    <t xml:space="preserve">Active remediation engagement (this program)</t>
  </si>
  <si>
    <t xml:space="preserve">CEO</t>
  </si>
  <si>
    <t xml:space="preserve">DOR remediation tracker maintained by Compliance; quarterly reports to NCUA</t>
  </si>
  <si>
    <t xml:space="preserve">Cross-cutting</t>
  </si>
  <si>
    <t xml:space="preserve">GV.OC-3, GV.OV</t>
  </si>
  <si>
    <t xml:space="preserve">R-07</t>
  </si>
  <si>
    <t xml:space="preserve">Critical Third-Party Compromise</t>
  </si>
  <si>
    <t xml:space="preserve">Cyber — Conf+Avail</t>
  </si>
  <si>
    <t xml:space="preserve">All data dependent on affected vendor</t>
  </si>
  <si>
    <t xml:space="preserve">T-I4 Vendor compromise</t>
  </si>
  <si>
    <t xml:space="preserve">No formal TPRM; SOC 2 reports not consistently obtained</t>
  </si>
  <si>
    <t xml:space="preserve">Contractual review by Legal at onboarding</t>
  </si>
  <si>
    <t xml:space="preserve">CRO</t>
  </si>
  <si>
    <t xml:space="preserve">Mitigate+Transfer</t>
  </si>
  <si>
    <t xml:space="preserve">TPRM program (M5-M10); SOC 2/ISO 27001 evidence; incident notification SLAs; cyber insurance</t>
  </si>
  <si>
    <t xml:space="preserve">A.5.19, A.5.20, A.5.21, A.5.22, A.5.23</t>
  </si>
  <si>
    <t xml:space="preserve">GV.SC, ID.SC</t>
  </si>
  <si>
    <t xml:space="preserve">R-08</t>
  </si>
  <si>
    <t xml:space="preserve">Unpatched Critical Vulnerabilities</t>
  </si>
  <si>
    <t xml:space="preserve">Cyber — CIA</t>
  </si>
  <si>
    <t xml:space="preserve">On-prem servers; workstations; network devices</t>
  </si>
  <si>
    <t xml:space="preserve">T-E1 Exploitation of vulnerability</t>
  </si>
  <si>
    <t xml:space="preserve">No patch SLAs; CISA KEV items unpatched &gt; 30 days</t>
  </si>
  <si>
    <t xml:space="preserve">Quarterly Tenable scans (no remediation tracking)</t>
  </si>
  <si>
    <t xml:space="preserve">VM Policy (M4); patch SLAs (14/30/60); monthly KPI reporting; KEV-driven emergency patching</t>
  </si>
  <si>
    <t xml:space="preserve">A.8.7, A.8.8, A.8.9</t>
  </si>
  <si>
    <t xml:space="preserve">ID.RA, PR.IP</t>
  </si>
  <si>
    <t xml:space="preserve">R-09</t>
  </si>
  <si>
    <t xml:space="preserve">ATM Skimming and Physical Tampering</t>
  </si>
  <si>
    <t xml:space="preserve">Physical+Cyber</t>
  </si>
  <si>
    <t xml:space="preserve">38 ATMs; cardholder data</t>
  </si>
  <si>
    <t xml:space="preserve">T-P2 ATM attack; T-T5 Physical tampering</t>
  </si>
  <si>
    <t xml:space="preserve">No anti-skim hardware on 14 of 38 ATMs</t>
  </si>
  <si>
    <t xml:space="preserve">Vendor-managed; surveillance at HQ ATMs only</t>
  </si>
  <si>
    <t xml:space="preserve">ATM Ops Mgr</t>
  </si>
  <si>
    <t xml:space="preserve">Anti-skim retrofit (M6-M9); 24/7 monitoring; behavioral analytics from card network</t>
  </si>
  <si>
    <t xml:space="preserve">A.7.1, A.7.4, A.7.8</t>
  </si>
  <si>
    <t xml:space="preserve">PR.AA-6, PR.IR-2</t>
  </si>
  <si>
    <t xml:space="preserve">R-10</t>
  </si>
  <si>
    <t xml:space="preserve">DDoS Against Online Banking</t>
  </si>
  <si>
    <t xml:space="preserve">Online banking; member website</t>
  </si>
  <si>
    <t xml:space="preserve">T-D2 DDoS</t>
  </si>
  <si>
    <t xml:space="preserve">DDoS protection at provider edge only</t>
  </si>
  <si>
    <t xml:space="preserve">Vendor-provided DDoS protection on online banking</t>
  </si>
  <si>
    <t xml:space="preserve">Verify provider scope (M4); add edge DDoS protection on website (M7); DDoS playbook + tabletop</t>
  </si>
  <si>
    <t xml:space="preserve">A.8.6</t>
  </si>
  <si>
    <t xml:space="preserve">PR.IR-3, DE.AE</t>
  </si>
  <si>
    <t xml:space="preserve">R-11</t>
  </si>
  <si>
    <t xml:space="preserve">Lost or Stolen Unencrypted Mobile Device</t>
  </si>
  <si>
    <t xml:space="preserve">Cyber — Confidentiality</t>
  </si>
  <si>
    <t xml:space="preserve">Corporate laptops; corporate mobile phones</t>
  </si>
  <si>
    <t xml:space="preserve">T-I2 Lost device</t>
  </si>
  <si>
    <t xml:space="preserve">BitLocker not on older laptops; no wipe on 12% mobile</t>
  </si>
  <si>
    <t xml:space="preserve">Intune MDM on majority; BitLocker on Win11</t>
  </si>
  <si>
    <t xml:space="preserve">100% BitLocker enforcement via Intune (M5); legacy laptop retirement (M9); 100% Intune mobile (M6)</t>
  </si>
  <si>
    <t xml:space="preserve">A.7.9, A.7.10, A.8.1</t>
  </si>
  <si>
    <t xml:space="preserve">PR.DS-3, PR.DS-1</t>
  </si>
  <si>
    <t xml:space="preserve">R-12</t>
  </si>
  <si>
    <t xml:space="preserve">Branch Robbery</t>
  </si>
  <si>
    <t xml:space="preserve">Physical — Safety</t>
  </si>
  <si>
    <t xml:space="preserve">Branch personnel; cash; members in branch</t>
  </si>
  <si>
    <t xml:space="preserve">T-P1 Robbery</t>
  </si>
  <si>
    <t xml:space="preserve">Inconsistent training; no formal robbery refresher</t>
  </si>
  <si>
    <t xml:space="preserve">Cash limits; cameras; alarms; barriers at 8 of 15 branches</t>
  </si>
  <si>
    <t xml:space="preserve">Physical Security Mgr</t>
  </si>
  <si>
    <t xml:space="preserve">Annual robbery training (M5); barriers at remaining 7 branches (M12); tabletop with local LE</t>
  </si>
  <si>
    <t xml:space="preserve">A.7.1, A.7.2, A.7.3, A.7.4</t>
  </si>
  <si>
    <t xml:space="preserve">PR.AA-6</t>
  </si>
  <si>
    <t xml:space="preserve">R-13</t>
  </si>
  <si>
    <t xml:space="preserve">Email Misdirection Disclosing Member NPI</t>
  </si>
  <si>
    <t xml:space="preserve">Member NPI</t>
  </si>
  <si>
    <t xml:space="preserve">T-I3 Misdirected email</t>
  </si>
  <si>
    <t xml:space="preserve">No DLP; no external recipient warning; no encryption</t>
  </si>
  <si>
    <t xml:space="preserve">M365 spam filter; informal awareness</t>
  </si>
  <si>
    <t xml:space="preserve">Purview DLP (M7); external recipient banner (M4); secure portal for member NPI (M8)</t>
  </si>
  <si>
    <t xml:space="preserve">A.8.10, A.8.11, A.8.12</t>
  </si>
  <si>
    <t xml:space="preserve">PR.DS-5</t>
  </si>
  <si>
    <t xml:space="preserve">R-14</t>
  </si>
  <si>
    <t xml:space="preserve">Pandemic / Regional Disaster — Workforce Unavailability</t>
  </si>
  <si>
    <t xml:space="preserve">Operational</t>
  </si>
  <si>
    <t xml:space="preserve">Workforce capacity</t>
  </si>
  <si>
    <t xml:space="preserve">T-D5 Natural disaster; T-D6 Pandemic</t>
  </si>
  <si>
    <t xml:space="preserve">No documented BC plan; no cross-training matrix</t>
  </si>
  <si>
    <t xml:space="preserve">M365 remote work; informal cross-training</t>
  </si>
  <si>
    <t xml:space="preserve">COO</t>
  </si>
  <si>
    <t xml:space="preserve">Formal BC plan (M8); cross-training matrix; annual pandemic refresh</t>
  </si>
  <si>
    <t xml:space="preserve">A.5.29, A.5.30</t>
  </si>
  <si>
    <t xml:space="preserve">RC.RP, ID.BE</t>
  </si>
  <si>
    <t xml:space="preserve">R-15</t>
  </si>
  <si>
    <t xml:space="preserve">Workplace Violence Incident at Branch or HQ</t>
  </si>
  <si>
    <t xml:space="preserve">Physical+Behavioral</t>
  </si>
  <si>
    <t xml:space="preserve">Personnel; physical facility; members on-site</t>
  </si>
  <si>
    <t xml:space="preserve">T-P4,P5,P6,P8 Workplace violence variants</t>
  </si>
  <si>
    <t xml:space="preserve">No WVP program; no BTAT; no DV intrusion protocol</t>
  </si>
  <si>
    <t xml:space="preserve">Branch alarms; informal awareness</t>
  </si>
  <si>
    <t xml:space="preserve">HR Director + Physical Security Mgr</t>
  </si>
  <si>
    <t xml:space="preserve">WVP program (M6); BTAT activation (M3); ALICE/CRASE training (M4-M7); local LE coordination</t>
  </si>
  <si>
    <t xml:space="preserve">A.6.3, A.7.1, A.7.2</t>
  </si>
  <si>
    <t xml:space="preserve">GV.RR, PR.AT, PR.IR</t>
  </si>
  <si>
    <t xml:space="preserve">Risk Treatment Plan — Action Tracker</t>
  </si>
  <si>
    <t xml:space="preserve">Action</t>
  </si>
  <si>
    <t xml:space="preserve">Owner</t>
  </si>
  <si>
    <t xml:space="preserve">Target Month</t>
  </si>
  <si>
    <t xml:space="preserve">Capital Cost</t>
  </si>
  <si>
    <t xml:space="preserve">Annual Operating</t>
  </si>
  <si>
    <t xml:space="preserve">MFA enforced on all admin accounts</t>
  </si>
  <si>
    <t xml:space="preserve">M5</t>
  </si>
  <si>
    <t xml:space="preserve">Security awareness platform (annual)</t>
  </si>
  <si>
    <t xml:space="preserve">M4</t>
  </si>
  <si>
    <t xml:space="preserve">Monthly phishing simulation</t>
  </si>
  <si>
    <t xml:space="preserve">Defender for Office 365 (annual)</t>
  </si>
  <si>
    <t xml:space="preserve">Phishing-resistant MFA pilot (FIDO2)</t>
  </si>
  <si>
    <t xml:space="preserve">M10</t>
  </si>
  <si>
    <t xml:space="preserve">Immutable backup tier deployment</t>
  </si>
  <si>
    <t xml:space="preserve">M6</t>
  </si>
  <si>
    <t xml:space="preserve">SIEM platform deployment</t>
  </si>
  <si>
    <t xml:space="preserve">M8</t>
  </si>
  <si>
    <t xml:space="preserve">Quarterly restoration drills</t>
  </si>
  <si>
    <t xml:space="preserve">M7</t>
  </si>
  <si>
    <t xml:space="preserve">Cyber insurance (annual)</t>
  </si>
  <si>
    <t xml:space="preserve">CFO</t>
  </si>
  <si>
    <t xml:space="preserve">TPRM program standup</t>
  </si>
  <si>
    <t xml:space="preserve">M5-M10</t>
  </si>
  <si>
    <t xml:space="preserve">Privileged Access Management platform</t>
  </si>
  <si>
    <t xml:space="preserve">M9</t>
  </si>
  <si>
    <t xml:space="preserve">BTAT standup (training+materials)</t>
  </si>
  <si>
    <t xml:space="preserve">HR Director</t>
  </si>
  <si>
    <t xml:space="preserve">M3</t>
  </si>
  <si>
    <t xml:space="preserve">Air-gapped backup for Tier 1</t>
  </si>
  <si>
    <t xml:space="preserve">Anti-skimming hardware retrofit</t>
  </si>
  <si>
    <t xml:space="preserve">M6-M9</t>
  </si>
  <si>
    <t xml:space="preserve">24/7 ATM monitoring contract</t>
  </si>
  <si>
    <t xml:space="preserve">Endpoint refresh (legacy laptop retirement)</t>
  </si>
  <si>
    <t xml:space="preserve">Annual robbery response training</t>
  </si>
  <si>
    <t xml:space="preserve">Phys Sec Mgr</t>
  </si>
  <si>
    <t xml:space="preserve">Bullet-resistant barriers (7 remaining branches)</t>
  </si>
  <si>
    <t xml:space="preserve">M12</t>
  </si>
  <si>
    <t xml:space="preserve">Microsoft Purview DLP (annual)</t>
  </si>
  <si>
    <t xml:space="preserve">Secure member NPI delivery portal</t>
  </si>
  <si>
    <t xml:space="preserve">ALICE/CRASE training all staff</t>
  </si>
  <si>
    <t xml:space="preserve">M4-M7</t>
  </si>
  <si>
    <t xml:space="preserve">Edge DDoS protection on member site</t>
  </si>
  <si>
    <t xml:space="preserve">ISO</t>
  </si>
  <si>
    <t xml:space="preserve">ISO 27001 Stage 1 + Stage 2 audit fees</t>
  </si>
  <si>
    <t xml:space="preserve">M16-M18</t>
  </si>
  <si>
    <t xml:space="preserve">TOTAL</t>
  </si>
  <si>
    <t xml:space="preserve">CTFCU Risk Heatmap — Residual Scores</t>
  </si>
  <si>
    <t xml:space="preserve">LIKELIHOOD ↓</t>
  </si>
  <si>
    <t xml:space="preserve">IMPACT →</t>
  </si>
  <si>
    <t xml:space="preserve">1 · Insignificant</t>
  </si>
  <si>
    <t xml:space="preserve">2 · Minor</t>
  </si>
  <si>
    <t xml:space="preserve">3 · Moderate</t>
  </si>
  <si>
    <t xml:space="preserve">4 · Major</t>
  </si>
  <si>
    <t xml:space="preserve">5 · Severe</t>
  </si>
  <si>
    <t xml:space="preserve">5 · Almost Certain</t>
  </si>
  <si>
    <t xml:space="preserve">R4</t>
  </si>
  <si>
    <t xml:space="preserve">4 · Likely</t>
  </si>
  <si>
    <t xml:space="preserve">R11</t>
  </si>
  <si>
    <t xml:space="preserve">R7</t>
  </si>
  <si>
    <t xml:space="preserve">R1</t>
  </si>
  <si>
    <t xml:space="preserve">3 · Possible</t>
  </si>
  <si>
    <t xml:space="preserve">R8, R9</t>
  </si>
  <si>
    <t xml:space="preserve">R2, R13</t>
  </si>
  <si>
    <t xml:space="preserve">2 · Unlikely</t>
  </si>
  <si>
    <t xml:space="preserve">R12</t>
  </si>
  <si>
    <t xml:space="preserve">R3, R15</t>
  </si>
  <si>
    <t xml:space="preserve">1 · Rare</t>
  </si>
  <si>
    <t xml:space="preserve">Legend:</t>
  </si>
  <si>
    <t xml:space="preserve">Very Low (1-2)</t>
  </si>
  <si>
    <t xml:space="preserve">Low (3-4)</t>
  </si>
  <si>
    <t xml:space="preserve">Medium (5-9)</t>
  </si>
  <si>
    <t xml:space="preserve">High (10-14)</t>
  </si>
  <si>
    <t xml:space="preserve">Very High (15-19)</t>
  </si>
  <si>
    <t xml:space="preserve">Critical (20-25)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</si>
</sst>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;&quot;($&quot;#,##0\);\-"/>
    <numFmt numFmtId="167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0B2A4A"/>
      <name val="Arial"/>
      <family val="0"/>
      <charset val="1"/>
    </font>
    <font>
      <sz val="11"/>
      <name val="Arial"/>
      <family val="0"/>
      <charset val="1"/>
    </font>
    <font>
      <sz val="11"/>
      <color rgb="FF0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2A4A"/>
        <bgColor rgb="FF0E3A66"/>
      </patternFill>
    </fill>
    <fill>
      <patternFill patternType="solid">
        <fgColor rgb="FFE8C76E"/>
        <bgColor rgb="FFF4D03F"/>
      </patternFill>
    </fill>
    <fill>
      <patternFill patternType="solid">
        <fgColor rgb="FF0E3A66"/>
        <bgColor rgb="FF0B2A4A"/>
      </patternFill>
    </fill>
    <fill>
      <patternFill patternType="solid">
        <fgColor rgb="FFE8E8E8"/>
        <bgColor rgb="FFFFFFFF"/>
      </patternFill>
    </fill>
    <fill>
      <patternFill patternType="solid">
        <fgColor rgb="FFF4D03F"/>
        <bgColor rgb="FFE8C76E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22B21"/>
      </patternFill>
    </fill>
    <fill>
      <patternFill patternType="solid">
        <fgColor rgb="FF922B21"/>
        <bgColor rgb="FF993366"/>
      </patternFill>
    </fill>
    <fill>
      <patternFill patternType="solid">
        <fgColor rgb="FF52BE80"/>
        <bgColor rgb="FF969696"/>
      </patternFill>
    </fill>
    <fill>
      <patternFill patternType="solid">
        <fgColor rgb="FF2E7D5B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FFFFFF"/>
        <sz val="10"/>
      </font>
      <fill>
        <patternFill>
          <bgColor rgb="FF922B21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67E22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4D03F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52BE8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E7D5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E8E8E8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76E"/>
      <rgbColor rgb="FF3366FF"/>
      <rgbColor rgb="FF52BE80"/>
      <rgbColor rgb="FF99CC00"/>
      <rgbColor rgb="FFF4D03F"/>
      <rgbColor rgb="FFFF9900"/>
      <rgbColor rgb="FFE67E22"/>
      <rgbColor rgb="FF555555"/>
      <rgbColor rgb="FF969696"/>
      <rgbColor rgb="FF0E3A66"/>
      <rgbColor rgb="FF2E7D5B"/>
      <rgbColor rgb="FF003300"/>
      <rgbColor rgb="FF333300"/>
      <rgbColor rgb="FF922B21"/>
      <rgbColor rgb="FF993366"/>
      <rgbColor rgb="FF333399"/>
      <rgbColor rgb="FF0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4"/>
      <c r="C3" s="4"/>
      <c r="D3" s="4"/>
      <c r="E3" s="4"/>
      <c r="F3" s="4"/>
    </row>
    <row r="4" customFormat="false" ht="26.8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26.8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26.8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false" outlineLevel="0" collapsed="false">
      <c r="A8" s="3"/>
      <c r="B8" s="4"/>
      <c r="C8" s="4"/>
      <c r="D8" s="4"/>
      <c r="E8" s="4"/>
      <c r="F8" s="4"/>
    </row>
    <row r="9" customFormat="false" ht="15" hidden="false" customHeight="false" outlineLevel="0" collapsed="false">
      <c r="A9" s="3" t="s">
        <v>10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5" t="s">
        <v>11</v>
      </c>
      <c r="B10" s="4" t="s">
        <v>12</v>
      </c>
      <c r="C10" s="4"/>
      <c r="D10" s="4"/>
      <c r="E10" s="4"/>
      <c r="F10" s="4"/>
    </row>
    <row r="11" customFormat="false" ht="15" hidden="false" customHeight="true" outlineLevel="0" collapsed="false">
      <c r="A11" s="5" t="s">
        <v>13</v>
      </c>
      <c r="B11" s="4" t="s">
        <v>14</v>
      </c>
      <c r="C11" s="4"/>
      <c r="D11" s="4"/>
      <c r="E11" s="4"/>
      <c r="F11" s="4"/>
    </row>
    <row r="12" customFormat="false" ht="15" hidden="false" customHeight="true" outlineLevel="0" collapsed="false">
      <c r="A12" s="5" t="s">
        <v>15</v>
      </c>
      <c r="B12" s="4" t="s">
        <v>16</v>
      </c>
      <c r="C12" s="4"/>
      <c r="D12" s="4"/>
      <c r="E12" s="4"/>
      <c r="F12" s="4"/>
    </row>
    <row r="13" customFormat="false" ht="15" hidden="false" customHeight="false" outlineLevel="0" collapsed="false">
      <c r="A13" s="3"/>
      <c r="B13" s="4"/>
      <c r="C13" s="4"/>
      <c r="D13" s="4"/>
      <c r="E13" s="4"/>
      <c r="F13" s="4"/>
    </row>
    <row r="14" customFormat="false" ht="39.55" hidden="false" customHeight="true" outlineLevel="0" collapsed="false">
      <c r="A14" s="3" t="s">
        <v>17</v>
      </c>
      <c r="B14" s="4" t="s">
        <v>18</v>
      </c>
      <c r="C14" s="4"/>
      <c r="D14" s="4"/>
      <c r="E14" s="4"/>
      <c r="F14" s="4"/>
    </row>
  </sheetData>
  <mergeCells count="14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38"/>
    <col collapsed="false" customWidth="true" hidden="false" outlineLevel="0" max="12" min="11" style="0" width="8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50"/>
    <col collapsed="false" customWidth="true" hidden="false" outlineLevel="0" max="18" min="18" style="0" width="30"/>
    <col collapsed="false" customWidth="true" hidden="false" outlineLevel="0" max="19" min="19" style="0" width="26"/>
  </cols>
  <sheetData>
    <row r="1" customFormat="false" ht="4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</row>
    <row r="2" customFormat="false" ht="94.5" hidden="false" customHeight="tru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n">
        <v>5</v>
      </c>
      <c r="H2" s="7" t="n">
        <v>5</v>
      </c>
      <c r="I2" s="8" t="n">
        <f aca="false">G2*H2</f>
        <v>25</v>
      </c>
      <c r="J2" s="7" t="s">
        <v>44</v>
      </c>
      <c r="K2" s="7" t="n">
        <v>4</v>
      </c>
      <c r="L2" s="7" t="n">
        <v>5</v>
      </c>
      <c r="M2" s="8" t="n">
        <f aca="false">K2*L2</f>
        <v>20</v>
      </c>
      <c r="N2" s="7" t="str">
        <f aca="false">IF(M2&gt;=20,"Critical",IF(M2&gt;=15,"Very High",IF(M2&gt;=10,"High",IF(M2&gt;=5,"Medium",IF(M2&gt;=3,"Low","Very Low")))))</f>
        <v>Critical</v>
      </c>
      <c r="O2" s="7" t="s">
        <v>45</v>
      </c>
      <c r="P2" s="7" t="s">
        <v>46</v>
      </c>
      <c r="Q2" s="7" t="s">
        <v>47</v>
      </c>
      <c r="R2" s="7" t="s">
        <v>48</v>
      </c>
      <c r="S2" s="7" t="s">
        <v>49</v>
      </c>
    </row>
    <row r="3" customFormat="false" ht="94.5" hidden="false" customHeight="true" outlineLevel="0" collapsed="false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n">
        <v>3</v>
      </c>
      <c r="H3" s="7" t="n">
        <v>5</v>
      </c>
      <c r="I3" s="8" t="n">
        <f aca="false">G3*H3</f>
        <v>15</v>
      </c>
      <c r="J3" s="7" t="s">
        <v>56</v>
      </c>
      <c r="K3" s="7" t="n">
        <v>3</v>
      </c>
      <c r="L3" s="7" t="n">
        <v>4</v>
      </c>
      <c r="M3" s="8" t="n">
        <f aca="false">K3*L3</f>
        <v>12</v>
      </c>
      <c r="N3" s="7" t="str">
        <f aca="false">IF(M3&gt;=20,"Critical",IF(M3&gt;=15,"Very High",IF(M3&gt;=10,"High",IF(M3&gt;=5,"Medium",IF(M3&gt;=3,"Low","Very Low")))))</f>
        <v>High</v>
      </c>
      <c r="O3" s="7" t="s">
        <v>57</v>
      </c>
      <c r="P3" s="7" t="s">
        <v>46</v>
      </c>
      <c r="Q3" s="7" t="s">
        <v>58</v>
      </c>
      <c r="R3" s="7" t="s">
        <v>59</v>
      </c>
      <c r="S3" s="7" t="s">
        <v>60</v>
      </c>
    </row>
    <row r="4" customFormat="false" ht="94.5" hidden="false" customHeight="true" outlineLevel="0" collapsed="false">
      <c r="A4" s="7" t="s">
        <v>61</v>
      </c>
      <c r="B4" s="7" t="s">
        <v>62</v>
      </c>
      <c r="C4" s="7" t="s">
        <v>63</v>
      </c>
      <c r="D4" s="7" t="s">
        <v>64</v>
      </c>
      <c r="E4" s="7" t="s">
        <v>65</v>
      </c>
      <c r="F4" s="7" t="s">
        <v>66</v>
      </c>
      <c r="G4" s="7" t="n">
        <v>2</v>
      </c>
      <c r="H4" s="7" t="n">
        <v>5</v>
      </c>
      <c r="I4" s="8" t="n">
        <f aca="false">G4*H4</f>
        <v>10</v>
      </c>
      <c r="J4" s="7" t="s">
        <v>67</v>
      </c>
      <c r="K4" s="7" t="n">
        <v>2</v>
      </c>
      <c r="L4" s="7" t="n">
        <v>5</v>
      </c>
      <c r="M4" s="8" t="n">
        <f aca="false">K4*L4</f>
        <v>10</v>
      </c>
      <c r="N4" s="7" t="str">
        <f aca="false">IF(M4&gt;=20,"Critical",IF(M4&gt;=15,"Very High",IF(M4&gt;=10,"High",IF(M4&gt;=5,"Medium",IF(M4&gt;=3,"Low","Very Low")))))</f>
        <v>High</v>
      </c>
      <c r="O4" s="7" t="s">
        <v>68</v>
      </c>
      <c r="P4" s="7" t="s">
        <v>46</v>
      </c>
      <c r="Q4" s="7" t="s">
        <v>69</v>
      </c>
      <c r="R4" s="7" t="s">
        <v>70</v>
      </c>
      <c r="S4" s="7" t="s">
        <v>71</v>
      </c>
    </row>
    <row r="5" customFormat="false" ht="94.5" hidden="false" customHeight="true" outlineLevel="0" collapsed="false">
      <c r="A5" s="7" t="s">
        <v>72</v>
      </c>
      <c r="B5" s="7" t="s">
        <v>73</v>
      </c>
      <c r="C5" s="7" t="s">
        <v>74</v>
      </c>
      <c r="D5" s="7" t="s">
        <v>75</v>
      </c>
      <c r="E5" s="7" t="s">
        <v>76</v>
      </c>
      <c r="F5" s="7" t="s">
        <v>77</v>
      </c>
      <c r="G5" s="7" t="n">
        <v>5</v>
      </c>
      <c r="H5" s="7" t="n">
        <v>4</v>
      </c>
      <c r="I5" s="8" t="n">
        <f aca="false">G5*H5</f>
        <v>20</v>
      </c>
      <c r="J5" s="7" t="s">
        <v>78</v>
      </c>
      <c r="K5" s="7" t="n">
        <v>5</v>
      </c>
      <c r="L5" s="7" t="n">
        <v>4</v>
      </c>
      <c r="M5" s="8" t="n">
        <f aca="false">K5*L5</f>
        <v>20</v>
      </c>
      <c r="N5" s="7" t="str">
        <f aca="false">IF(M5&gt;=20,"Critical",IF(M5&gt;=15,"Very High",IF(M5&gt;=10,"High",IF(M5&gt;=5,"Medium",IF(M5&gt;=3,"Low","Very Low")))))</f>
        <v>Critical</v>
      </c>
      <c r="O5" s="7" t="s">
        <v>79</v>
      </c>
      <c r="P5" s="7" t="s">
        <v>46</v>
      </c>
      <c r="Q5" s="7" t="s">
        <v>80</v>
      </c>
      <c r="R5" s="7" t="s">
        <v>81</v>
      </c>
      <c r="S5" s="7" t="s">
        <v>82</v>
      </c>
    </row>
    <row r="6" customFormat="false" ht="94.5" hidden="false" customHeight="true" outlineLevel="0" collapsed="false">
      <c r="A6" s="7" t="s">
        <v>83</v>
      </c>
      <c r="B6" s="7" t="s">
        <v>84</v>
      </c>
      <c r="C6" s="7" t="s">
        <v>85</v>
      </c>
      <c r="D6" s="7" t="s">
        <v>86</v>
      </c>
      <c r="E6" s="7" t="s">
        <v>87</v>
      </c>
      <c r="F6" s="7" t="s">
        <v>88</v>
      </c>
      <c r="G6" s="7" t="n">
        <v>4</v>
      </c>
      <c r="H6" s="7" t="n">
        <v>4</v>
      </c>
      <c r="I6" s="8" t="n">
        <f aca="false">G6*H6</f>
        <v>16</v>
      </c>
      <c r="J6" s="7" t="s">
        <v>89</v>
      </c>
      <c r="K6" s="7" t="n">
        <v>2</v>
      </c>
      <c r="L6" s="7" t="n">
        <v>4</v>
      </c>
      <c r="M6" s="8" t="n">
        <f aca="false">K6*L6</f>
        <v>8</v>
      </c>
      <c r="N6" s="7" t="str">
        <f aca="false">IF(M6&gt;=20,"Critical",IF(M6&gt;=15,"Very High",IF(M6&gt;=10,"High",IF(M6&gt;=5,"Medium",IF(M6&gt;=3,"Low","Very Low")))))</f>
        <v>Medium</v>
      </c>
      <c r="O6" s="7" t="s">
        <v>90</v>
      </c>
      <c r="P6" s="7" t="s">
        <v>46</v>
      </c>
      <c r="Q6" s="7" t="s">
        <v>91</v>
      </c>
      <c r="R6" s="7" t="s">
        <v>92</v>
      </c>
      <c r="S6" s="7" t="s">
        <v>93</v>
      </c>
    </row>
    <row r="7" customFormat="false" ht="94.5" hidden="false" customHeight="true" outlineLevel="0" collapsed="false">
      <c r="A7" s="7" t="s">
        <v>94</v>
      </c>
      <c r="B7" s="7" t="s">
        <v>95</v>
      </c>
      <c r="C7" s="7" t="s">
        <v>96</v>
      </c>
      <c r="D7" s="7" t="s">
        <v>97</v>
      </c>
      <c r="E7" s="7" t="s">
        <v>98</v>
      </c>
      <c r="F7" s="7" t="s">
        <v>99</v>
      </c>
      <c r="G7" s="7" t="n">
        <v>5</v>
      </c>
      <c r="H7" s="7" t="n">
        <v>4</v>
      </c>
      <c r="I7" s="8" t="n">
        <f aca="false">G7*H7</f>
        <v>20</v>
      </c>
      <c r="J7" s="7" t="s">
        <v>100</v>
      </c>
      <c r="K7" s="7" t="n">
        <v>2</v>
      </c>
      <c r="L7" s="7" t="n">
        <v>4</v>
      </c>
      <c r="M7" s="8" t="n">
        <f aca="false">K7*L7</f>
        <v>8</v>
      </c>
      <c r="N7" s="7" t="str">
        <f aca="false">IF(M7&gt;=20,"Critical",IF(M7&gt;=15,"Very High",IF(M7&gt;=10,"High",IF(M7&gt;=5,"Medium",IF(M7&gt;=3,"Low","Very Low")))))</f>
        <v>Medium</v>
      </c>
      <c r="O7" s="7" t="s">
        <v>101</v>
      </c>
      <c r="P7" s="7" t="s">
        <v>46</v>
      </c>
      <c r="Q7" s="7" t="s">
        <v>102</v>
      </c>
      <c r="R7" s="7" t="s">
        <v>103</v>
      </c>
      <c r="S7" s="7" t="s">
        <v>104</v>
      </c>
    </row>
    <row r="8" customFormat="false" ht="94.5" hidden="false" customHeight="true" outlineLevel="0" collapsed="false">
      <c r="A8" s="7" t="s">
        <v>105</v>
      </c>
      <c r="B8" s="7" t="s">
        <v>106</v>
      </c>
      <c r="C8" s="7" t="s">
        <v>107</v>
      </c>
      <c r="D8" s="7" t="s">
        <v>108</v>
      </c>
      <c r="E8" s="7" t="s">
        <v>109</v>
      </c>
      <c r="F8" s="7" t="s">
        <v>110</v>
      </c>
      <c r="G8" s="7" t="n">
        <v>4</v>
      </c>
      <c r="H8" s="7" t="n">
        <v>5</v>
      </c>
      <c r="I8" s="8" t="n">
        <f aca="false">G8*H8</f>
        <v>20</v>
      </c>
      <c r="J8" s="7" t="s">
        <v>111</v>
      </c>
      <c r="K8" s="7" t="n">
        <v>4</v>
      </c>
      <c r="L8" s="7" t="n">
        <v>4</v>
      </c>
      <c r="M8" s="8" t="n">
        <f aca="false">K8*L8</f>
        <v>16</v>
      </c>
      <c r="N8" s="7" t="str">
        <f aca="false">IF(M8&gt;=20,"Critical",IF(M8&gt;=15,"Very High",IF(M8&gt;=10,"High",IF(M8&gt;=5,"Medium",IF(M8&gt;=3,"Low","Very Low")))))</f>
        <v>Very High</v>
      </c>
      <c r="O8" s="7" t="s">
        <v>112</v>
      </c>
      <c r="P8" s="7" t="s">
        <v>113</v>
      </c>
      <c r="Q8" s="7" t="s">
        <v>114</v>
      </c>
      <c r="R8" s="7" t="s">
        <v>115</v>
      </c>
      <c r="S8" s="7" t="s">
        <v>116</v>
      </c>
    </row>
    <row r="9" customFormat="false" ht="94.5" hidden="false" customHeight="true" outlineLevel="0" collapsed="false">
      <c r="A9" s="7" t="s">
        <v>117</v>
      </c>
      <c r="B9" s="7" t="s">
        <v>118</v>
      </c>
      <c r="C9" s="7" t="s">
        <v>119</v>
      </c>
      <c r="D9" s="7" t="s">
        <v>120</v>
      </c>
      <c r="E9" s="7" t="s">
        <v>121</v>
      </c>
      <c r="F9" s="7" t="s">
        <v>122</v>
      </c>
      <c r="G9" s="7" t="n">
        <v>4</v>
      </c>
      <c r="H9" s="7" t="n">
        <v>4</v>
      </c>
      <c r="I9" s="8" t="n">
        <f aca="false">G9*H9</f>
        <v>16</v>
      </c>
      <c r="J9" s="7" t="s">
        <v>123</v>
      </c>
      <c r="K9" s="7" t="n">
        <v>3</v>
      </c>
      <c r="L9" s="7" t="n">
        <v>4</v>
      </c>
      <c r="M9" s="8" t="n">
        <f aca="false">K9*L9</f>
        <v>12</v>
      </c>
      <c r="N9" s="7" t="str">
        <f aca="false">IF(M9&gt;=20,"Critical",IF(M9&gt;=15,"Very High",IF(M9&gt;=10,"High",IF(M9&gt;=5,"Medium",IF(M9&gt;=3,"Low","Very Low")))))</f>
        <v>High</v>
      </c>
      <c r="O9" s="7" t="s">
        <v>68</v>
      </c>
      <c r="P9" s="7" t="s">
        <v>46</v>
      </c>
      <c r="Q9" s="7" t="s">
        <v>124</v>
      </c>
      <c r="R9" s="7" t="s">
        <v>125</v>
      </c>
      <c r="S9" s="7" t="s">
        <v>126</v>
      </c>
    </row>
    <row r="10" customFormat="false" ht="94.5" hidden="false" customHeight="true" outlineLevel="0" collapsed="false">
      <c r="A10" s="7" t="s">
        <v>127</v>
      </c>
      <c r="B10" s="7" t="s">
        <v>128</v>
      </c>
      <c r="C10" s="7" t="s">
        <v>129</v>
      </c>
      <c r="D10" s="7" t="s">
        <v>130</v>
      </c>
      <c r="E10" s="7" t="s">
        <v>131</v>
      </c>
      <c r="F10" s="7" t="s">
        <v>132</v>
      </c>
      <c r="G10" s="7" t="n">
        <v>4</v>
      </c>
      <c r="H10" s="7" t="n">
        <v>3</v>
      </c>
      <c r="I10" s="8" t="n">
        <f aca="false">G10*H10</f>
        <v>12</v>
      </c>
      <c r="J10" s="7" t="s">
        <v>133</v>
      </c>
      <c r="K10" s="7" t="n">
        <v>3</v>
      </c>
      <c r="L10" s="7" t="n">
        <v>3</v>
      </c>
      <c r="M10" s="8" t="n">
        <f aca="false">K10*L10</f>
        <v>9</v>
      </c>
      <c r="N10" s="7" t="str">
        <f aca="false">IF(M10&gt;=20,"Critical",IF(M10&gt;=15,"Very High",IF(M10&gt;=10,"High",IF(M10&gt;=5,"Medium",IF(M10&gt;=3,"Low","Very Low")))))</f>
        <v>Medium</v>
      </c>
      <c r="O10" s="7" t="s">
        <v>134</v>
      </c>
      <c r="P10" s="7" t="s">
        <v>46</v>
      </c>
      <c r="Q10" s="7" t="s">
        <v>135</v>
      </c>
      <c r="R10" s="7" t="s">
        <v>136</v>
      </c>
      <c r="S10" s="7" t="s">
        <v>137</v>
      </c>
    </row>
    <row r="11" customFormat="false" ht="94.5" hidden="false" customHeight="true" outlineLevel="0" collapsed="false">
      <c r="A11" s="7" t="s">
        <v>138</v>
      </c>
      <c r="B11" s="7" t="s">
        <v>139</v>
      </c>
      <c r="C11" s="7" t="s">
        <v>63</v>
      </c>
      <c r="D11" s="7" t="s">
        <v>140</v>
      </c>
      <c r="E11" s="7" t="s">
        <v>141</v>
      </c>
      <c r="F11" s="7" t="s">
        <v>142</v>
      </c>
      <c r="G11" s="7" t="n">
        <v>3</v>
      </c>
      <c r="H11" s="7" t="n">
        <v>3</v>
      </c>
      <c r="I11" s="8" t="n">
        <f aca="false">G11*H11</f>
        <v>9</v>
      </c>
      <c r="J11" s="7" t="s">
        <v>143</v>
      </c>
      <c r="K11" s="7" t="n">
        <v>2</v>
      </c>
      <c r="L11" s="7" t="n">
        <v>3</v>
      </c>
      <c r="M11" s="8" t="n">
        <f aca="false">K11*L11</f>
        <v>6</v>
      </c>
      <c r="N11" s="7" t="str">
        <f aca="false">IF(M11&gt;=20,"Critical",IF(M11&gt;=15,"Very High",IF(M11&gt;=10,"High",IF(M11&gt;=5,"Medium",IF(M11&gt;=3,"Low","Very Low")))))</f>
        <v>Medium</v>
      </c>
      <c r="O11" s="7" t="s">
        <v>45</v>
      </c>
      <c r="P11" s="7" t="s">
        <v>46</v>
      </c>
      <c r="Q11" s="7" t="s">
        <v>144</v>
      </c>
      <c r="R11" s="7" t="s">
        <v>145</v>
      </c>
      <c r="S11" s="7" t="s">
        <v>146</v>
      </c>
    </row>
    <row r="12" customFormat="false" ht="94.5" hidden="false" customHeight="true" outlineLevel="0" collapsed="false">
      <c r="A12" s="7" t="s">
        <v>147</v>
      </c>
      <c r="B12" s="7" t="s">
        <v>148</v>
      </c>
      <c r="C12" s="7" t="s">
        <v>149</v>
      </c>
      <c r="D12" s="7" t="s">
        <v>150</v>
      </c>
      <c r="E12" s="7" t="s">
        <v>151</v>
      </c>
      <c r="F12" s="7" t="s">
        <v>152</v>
      </c>
      <c r="G12" s="7" t="n">
        <v>4</v>
      </c>
      <c r="H12" s="7" t="n">
        <v>2</v>
      </c>
      <c r="I12" s="8" t="n">
        <f aca="false">G12*H12</f>
        <v>8</v>
      </c>
      <c r="J12" s="7" t="s">
        <v>153</v>
      </c>
      <c r="K12" s="7" t="n">
        <v>4</v>
      </c>
      <c r="L12" s="7" t="n">
        <v>2</v>
      </c>
      <c r="M12" s="8" t="n">
        <f aca="false">K12*L12</f>
        <v>8</v>
      </c>
      <c r="N12" s="7" t="str">
        <f aca="false">IF(M12&gt;=20,"Critical",IF(M12&gt;=15,"Very High",IF(M12&gt;=10,"High",IF(M12&gt;=5,"Medium",IF(M12&gt;=3,"Low","Very Low")))))</f>
        <v>Medium</v>
      </c>
      <c r="O12" s="7" t="s">
        <v>68</v>
      </c>
      <c r="P12" s="7" t="s">
        <v>46</v>
      </c>
      <c r="Q12" s="7" t="s">
        <v>154</v>
      </c>
      <c r="R12" s="7" t="s">
        <v>155</v>
      </c>
      <c r="S12" s="7" t="s">
        <v>156</v>
      </c>
    </row>
    <row r="13" customFormat="false" ht="94.5" hidden="false" customHeight="true" outlineLevel="0" collapsed="false">
      <c r="A13" s="7" t="s">
        <v>157</v>
      </c>
      <c r="B13" s="7" t="s">
        <v>158</v>
      </c>
      <c r="C13" s="7" t="s">
        <v>159</v>
      </c>
      <c r="D13" s="7" t="s">
        <v>160</v>
      </c>
      <c r="E13" s="7" t="s">
        <v>161</v>
      </c>
      <c r="F13" s="7" t="s">
        <v>162</v>
      </c>
      <c r="G13" s="7" t="n">
        <v>3</v>
      </c>
      <c r="H13" s="7" t="n">
        <v>4</v>
      </c>
      <c r="I13" s="8" t="n">
        <f aca="false">G13*H13</f>
        <v>12</v>
      </c>
      <c r="J13" s="7" t="s">
        <v>163</v>
      </c>
      <c r="K13" s="7" t="n">
        <v>2</v>
      </c>
      <c r="L13" s="7" t="n">
        <v>4</v>
      </c>
      <c r="M13" s="8" t="n">
        <f aca="false">K13*L13</f>
        <v>8</v>
      </c>
      <c r="N13" s="7" t="str">
        <f aca="false">IF(M13&gt;=20,"Critical",IF(M13&gt;=15,"Very High",IF(M13&gt;=10,"High",IF(M13&gt;=5,"Medium",IF(M13&gt;=3,"Low","Very Low")))))</f>
        <v>Medium</v>
      </c>
      <c r="O13" s="7" t="s">
        <v>164</v>
      </c>
      <c r="P13" s="7" t="s">
        <v>46</v>
      </c>
      <c r="Q13" s="7" t="s">
        <v>165</v>
      </c>
      <c r="R13" s="7" t="s">
        <v>166</v>
      </c>
      <c r="S13" s="7" t="s">
        <v>167</v>
      </c>
    </row>
    <row r="14" customFormat="false" ht="94.5" hidden="false" customHeight="true" outlineLevel="0" collapsed="false">
      <c r="A14" s="7" t="s">
        <v>168</v>
      </c>
      <c r="B14" s="7" t="s">
        <v>169</v>
      </c>
      <c r="C14" s="7" t="s">
        <v>149</v>
      </c>
      <c r="D14" s="7" t="s">
        <v>170</v>
      </c>
      <c r="E14" s="7" t="s">
        <v>171</v>
      </c>
      <c r="F14" s="7" t="s">
        <v>172</v>
      </c>
      <c r="G14" s="7" t="n">
        <v>4</v>
      </c>
      <c r="H14" s="7" t="n">
        <v>3</v>
      </c>
      <c r="I14" s="8" t="n">
        <f aca="false">G14*H14</f>
        <v>12</v>
      </c>
      <c r="J14" s="7" t="s">
        <v>173</v>
      </c>
      <c r="K14" s="7" t="n">
        <v>3</v>
      </c>
      <c r="L14" s="7" t="n">
        <v>3</v>
      </c>
      <c r="M14" s="8" t="n">
        <f aca="false">K14*L14</f>
        <v>9</v>
      </c>
      <c r="N14" s="7" t="str">
        <f aca="false">IF(M14&gt;=20,"Critical",IF(M14&gt;=15,"Very High",IF(M14&gt;=10,"High",IF(M14&gt;=5,"Medium",IF(M14&gt;=3,"Low","Very Low")))))</f>
        <v>Medium</v>
      </c>
      <c r="O14" s="7" t="s">
        <v>79</v>
      </c>
      <c r="P14" s="7" t="s">
        <v>46</v>
      </c>
      <c r="Q14" s="7" t="s">
        <v>174</v>
      </c>
      <c r="R14" s="7" t="s">
        <v>175</v>
      </c>
      <c r="S14" s="7" t="s">
        <v>176</v>
      </c>
    </row>
    <row r="15" customFormat="false" ht="94.5" hidden="false" customHeight="true" outlineLevel="0" collapsed="false">
      <c r="A15" s="7" t="s">
        <v>177</v>
      </c>
      <c r="B15" s="7" t="s">
        <v>178</v>
      </c>
      <c r="C15" s="7" t="s">
        <v>179</v>
      </c>
      <c r="D15" s="7" t="s">
        <v>180</v>
      </c>
      <c r="E15" s="7" t="s">
        <v>181</v>
      </c>
      <c r="F15" s="7" t="s">
        <v>182</v>
      </c>
      <c r="G15" s="7" t="n">
        <v>2</v>
      </c>
      <c r="H15" s="7" t="n">
        <v>4</v>
      </c>
      <c r="I15" s="8" t="n">
        <f aca="false">G15*H15</f>
        <v>8</v>
      </c>
      <c r="J15" s="7" t="s">
        <v>183</v>
      </c>
      <c r="K15" s="7" t="n">
        <v>2</v>
      </c>
      <c r="L15" s="7" t="n">
        <v>3</v>
      </c>
      <c r="M15" s="8" t="n">
        <f aca="false">K15*L15</f>
        <v>6</v>
      </c>
      <c r="N15" s="7" t="str">
        <f aca="false">IF(M15&gt;=20,"Critical",IF(M15&gt;=15,"Very High",IF(M15&gt;=10,"High",IF(M15&gt;=5,"Medium",IF(M15&gt;=3,"Low","Very Low")))))</f>
        <v>Medium</v>
      </c>
      <c r="O15" s="7" t="s">
        <v>184</v>
      </c>
      <c r="P15" s="7" t="s">
        <v>46</v>
      </c>
      <c r="Q15" s="7" t="s">
        <v>185</v>
      </c>
      <c r="R15" s="7" t="s">
        <v>186</v>
      </c>
      <c r="S15" s="7" t="s">
        <v>187</v>
      </c>
    </row>
    <row r="16" customFormat="false" ht="94.5" hidden="false" customHeight="true" outlineLevel="0" collapsed="false">
      <c r="A16" s="7" t="s">
        <v>188</v>
      </c>
      <c r="B16" s="7" t="s">
        <v>189</v>
      </c>
      <c r="C16" s="7" t="s">
        <v>190</v>
      </c>
      <c r="D16" s="7" t="s">
        <v>191</v>
      </c>
      <c r="E16" s="7" t="s">
        <v>192</v>
      </c>
      <c r="F16" s="7" t="s">
        <v>193</v>
      </c>
      <c r="G16" s="7" t="n">
        <v>2</v>
      </c>
      <c r="H16" s="7" t="n">
        <v>5</v>
      </c>
      <c r="I16" s="8" t="n">
        <f aca="false">G16*H16</f>
        <v>10</v>
      </c>
      <c r="J16" s="7" t="s">
        <v>194</v>
      </c>
      <c r="K16" s="7" t="n">
        <v>2</v>
      </c>
      <c r="L16" s="7" t="n">
        <v>5</v>
      </c>
      <c r="M16" s="8" t="n">
        <f aca="false">K16*L16</f>
        <v>10</v>
      </c>
      <c r="N16" s="7" t="str">
        <f aca="false">IF(M16&gt;=20,"Critical",IF(M16&gt;=15,"Very High",IF(M16&gt;=10,"High",IF(M16&gt;=5,"Medium",IF(M16&gt;=3,"Low","Very Low")))))</f>
        <v>High</v>
      </c>
      <c r="O16" s="7" t="s">
        <v>195</v>
      </c>
      <c r="P16" s="7" t="s">
        <v>46</v>
      </c>
      <c r="Q16" s="7" t="s">
        <v>196</v>
      </c>
      <c r="R16" s="7" t="s">
        <v>197</v>
      </c>
      <c r="S16" s="7" t="s">
        <v>198</v>
      </c>
    </row>
  </sheetData>
  <conditionalFormatting sqref="I2:I16">
    <cfRule type="cellIs" priority="2" operator="greaterThanOrEqual" aboveAverage="0" equalAverage="0" bottom="0" percent="0" rank="0" text="" dxfId="0">
      <formula>20</formula>
    </cfRule>
    <cfRule type="cellIs" priority="3" operator="between" aboveAverage="0" equalAverage="0" bottom="0" percent="0" rank="0" text="" dxfId="1">
      <formula>15</formula>
      <formula>19</formula>
    </cfRule>
    <cfRule type="cellIs" priority="4" operator="between" aboveAverage="0" equalAverage="0" bottom="0" percent="0" rank="0" text="" dxfId="2">
      <formula>10</formula>
      <formula>14</formula>
    </cfRule>
    <cfRule type="cellIs" priority="5" operator="between" aboveAverage="0" equalAverage="0" bottom="0" percent="0" rank="0" text="" dxfId="3">
      <formula>5</formula>
      <formula>9</formula>
    </cfRule>
    <cfRule type="cellIs" priority="6" operator="between" aboveAverage="0" equalAverage="0" bottom="0" percent="0" rank="0" text="" dxfId="4">
      <formula>3</formula>
      <formula>4</formula>
    </cfRule>
    <cfRule type="cellIs" priority="7" operator="lessThanOrEqual" aboveAverage="0" equalAverage="0" bottom="0" percent="0" rank="0" text="" dxfId="5">
      <formula>2</formula>
    </cfRule>
  </conditionalFormatting>
  <conditionalFormatting sqref="M2:M16">
    <cfRule type="cellIs" priority="8" operator="greaterThanOrEqual" aboveAverage="0" equalAverage="0" bottom="0" percent="0" rank="0" text="" dxfId="0">
      <formula>20</formula>
    </cfRule>
    <cfRule type="cellIs" priority="9" operator="between" aboveAverage="0" equalAverage="0" bottom="0" percent="0" rank="0" text="" dxfId="1">
      <formula>15</formula>
      <formula>19</formula>
    </cfRule>
    <cfRule type="cellIs" priority="10" operator="between" aboveAverage="0" equalAverage="0" bottom="0" percent="0" rank="0" text="" dxfId="2">
      <formula>10</formula>
      <formula>14</formula>
    </cfRule>
    <cfRule type="cellIs" priority="11" operator="between" aboveAverage="0" equalAverage="0" bottom="0" percent="0" rank="0" text="" dxfId="3">
      <formula>5</formula>
      <formula>9</formula>
    </cfRule>
    <cfRule type="cellIs" priority="12" operator="between" aboveAverage="0" equalAverage="0" bottom="0" percent="0" rank="0" text="" dxfId="4">
      <formula>3</formula>
      <formula>4</formula>
    </cfRule>
    <cfRule type="cellIs" priority="13" operator="lessThanOrEqual" aboveAverage="0" equalAverage="0" bottom="0" percent="0" rank="0" text="" dxfId="5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9" t="s">
        <v>199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19</v>
      </c>
      <c r="B2" s="10" t="s">
        <v>200</v>
      </c>
      <c r="C2" s="10" t="s">
        <v>201</v>
      </c>
      <c r="D2" s="10" t="s">
        <v>202</v>
      </c>
      <c r="E2" s="10" t="s">
        <v>203</v>
      </c>
      <c r="F2" s="10" t="s">
        <v>204</v>
      </c>
    </row>
    <row r="3" customFormat="false" ht="15" hidden="false" customHeight="false" outlineLevel="0" collapsed="false">
      <c r="A3" s="7" t="s">
        <v>72</v>
      </c>
      <c r="B3" s="7" t="s">
        <v>205</v>
      </c>
      <c r="C3" s="7" t="s">
        <v>79</v>
      </c>
      <c r="D3" s="7" t="s">
        <v>206</v>
      </c>
      <c r="E3" s="11" t="n">
        <v>0</v>
      </c>
      <c r="F3" s="11" t="n">
        <v>0</v>
      </c>
    </row>
    <row r="4" customFormat="false" ht="15" hidden="false" customHeight="false" outlineLevel="0" collapsed="false">
      <c r="A4" s="7" t="s">
        <v>72</v>
      </c>
      <c r="B4" s="7" t="s">
        <v>207</v>
      </c>
      <c r="C4" s="7" t="s">
        <v>79</v>
      </c>
      <c r="D4" s="7" t="s">
        <v>208</v>
      </c>
      <c r="E4" s="11" t="n">
        <v>0</v>
      </c>
      <c r="F4" s="11" t="n">
        <v>40000</v>
      </c>
    </row>
    <row r="5" customFormat="false" ht="15" hidden="false" customHeight="false" outlineLevel="0" collapsed="false">
      <c r="A5" s="7" t="s">
        <v>72</v>
      </c>
      <c r="B5" s="7" t="s">
        <v>209</v>
      </c>
      <c r="C5" s="7" t="s">
        <v>79</v>
      </c>
      <c r="D5" s="7" t="s">
        <v>208</v>
      </c>
      <c r="E5" s="11" t="n">
        <v>0</v>
      </c>
      <c r="F5" s="11" t="n">
        <v>0</v>
      </c>
    </row>
    <row r="6" customFormat="false" ht="15" hidden="false" customHeight="false" outlineLevel="0" collapsed="false">
      <c r="A6" s="7" t="s">
        <v>72</v>
      </c>
      <c r="B6" s="7" t="s">
        <v>210</v>
      </c>
      <c r="C6" s="7" t="s">
        <v>79</v>
      </c>
      <c r="D6" s="7" t="s">
        <v>208</v>
      </c>
      <c r="E6" s="11" t="n">
        <v>0</v>
      </c>
      <c r="F6" s="11" t="n">
        <v>24000</v>
      </c>
    </row>
    <row r="7" customFormat="false" ht="15" hidden="false" customHeight="false" outlineLevel="0" collapsed="false">
      <c r="A7" s="7" t="s">
        <v>72</v>
      </c>
      <c r="B7" s="7" t="s">
        <v>211</v>
      </c>
      <c r="C7" s="7" t="s">
        <v>79</v>
      </c>
      <c r="D7" s="7" t="s">
        <v>212</v>
      </c>
      <c r="E7" s="11" t="n">
        <v>18000</v>
      </c>
      <c r="F7" s="11" t="n">
        <v>0</v>
      </c>
    </row>
    <row r="8" customFormat="false" ht="15" hidden="false" customHeight="false" outlineLevel="0" collapsed="false">
      <c r="A8" s="7" t="s">
        <v>38</v>
      </c>
      <c r="B8" s="7" t="s">
        <v>213</v>
      </c>
      <c r="C8" s="7" t="s">
        <v>68</v>
      </c>
      <c r="D8" s="7" t="s">
        <v>214</v>
      </c>
      <c r="E8" s="11" t="n">
        <v>65000</v>
      </c>
      <c r="F8" s="11" t="n">
        <v>0</v>
      </c>
    </row>
    <row r="9" customFormat="false" ht="15" hidden="false" customHeight="false" outlineLevel="0" collapsed="false">
      <c r="A9" s="7" t="s">
        <v>38</v>
      </c>
      <c r="B9" s="7" t="s">
        <v>215</v>
      </c>
      <c r="C9" s="7" t="s">
        <v>79</v>
      </c>
      <c r="D9" s="7" t="s">
        <v>216</v>
      </c>
      <c r="E9" s="11" t="n">
        <v>180000</v>
      </c>
      <c r="F9" s="11" t="n">
        <v>90000</v>
      </c>
    </row>
    <row r="10" customFormat="false" ht="15" hidden="false" customHeight="false" outlineLevel="0" collapsed="false">
      <c r="A10" s="7" t="s">
        <v>38</v>
      </c>
      <c r="B10" s="7" t="s">
        <v>217</v>
      </c>
      <c r="C10" s="7" t="s">
        <v>68</v>
      </c>
      <c r="D10" s="7" t="s">
        <v>218</v>
      </c>
      <c r="E10" s="11" t="n">
        <v>0</v>
      </c>
      <c r="F10" s="11" t="n">
        <v>0</v>
      </c>
    </row>
    <row r="11" customFormat="false" ht="15" hidden="false" customHeight="false" outlineLevel="0" collapsed="false">
      <c r="A11" s="7" t="s">
        <v>105</v>
      </c>
      <c r="B11" s="7" t="s">
        <v>219</v>
      </c>
      <c r="C11" s="7" t="s">
        <v>220</v>
      </c>
      <c r="D11" s="7" t="s">
        <v>208</v>
      </c>
      <c r="E11" s="11" t="n">
        <v>0</v>
      </c>
      <c r="F11" s="11" t="n">
        <v>75000</v>
      </c>
    </row>
    <row r="12" customFormat="false" ht="15" hidden="false" customHeight="false" outlineLevel="0" collapsed="false">
      <c r="A12" s="7" t="s">
        <v>105</v>
      </c>
      <c r="B12" s="7" t="s">
        <v>221</v>
      </c>
      <c r="C12" s="7" t="s">
        <v>112</v>
      </c>
      <c r="D12" s="7" t="s">
        <v>222</v>
      </c>
      <c r="E12" s="11" t="n">
        <v>0</v>
      </c>
      <c r="F12" s="11" t="n">
        <v>0</v>
      </c>
    </row>
    <row r="13" customFormat="false" ht="15" hidden="false" customHeight="false" outlineLevel="0" collapsed="false">
      <c r="A13" s="7" t="s">
        <v>50</v>
      </c>
      <c r="B13" s="7" t="s">
        <v>223</v>
      </c>
      <c r="C13" s="7" t="s">
        <v>68</v>
      </c>
      <c r="D13" s="7" t="s">
        <v>224</v>
      </c>
      <c r="E13" s="11" t="n">
        <v>120000</v>
      </c>
      <c r="F13" s="11" t="n">
        <v>40000</v>
      </c>
    </row>
    <row r="14" customFormat="false" ht="15" hidden="false" customHeight="false" outlineLevel="0" collapsed="false">
      <c r="A14" s="7" t="s">
        <v>50</v>
      </c>
      <c r="B14" s="7" t="s">
        <v>225</v>
      </c>
      <c r="C14" s="7" t="s">
        <v>226</v>
      </c>
      <c r="D14" s="7" t="s">
        <v>227</v>
      </c>
      <c r="E14" s="11" t="n">
        <v>15000</v>
      </c>
      <c r="F14" s="11" t="n">
        <v>0</v>
      </c>
    </row>
    <row r="15" customFormat="false" ht="15" hidden="false" customHeight="false" outlineLevel="0" collapsed="false">
      <c r="A15" s="7" t="s">
        <v>61</v>
      </c>
      <c r="B15" s="7" t="s">
        <v>228</v>
      </c>
      <c r="C15" s="7" t="s">
        <v>68</v>
      </c>
      <c r="D15" s="7" t="s">
        <v>216</v>
      </c>
      <c r="E15" s="11" t="n">
        <v>45000</v>
      </c>
      <c r="F15" s="11" t="n">
        <v>0</v>
      </c>
    </row>
    <row r="16" customFormat="false" ht="15" hidden="false" customHeight="false" outlineLevel="0" collapsed="false">
      <c r="A16" s="7" t="s">
        <v>127</v>
      </c>
      <c r="B16" s="7" t="s">
        <v>229</v>
      </c>
      <c r="C16" s="7" t="s">
        <v>134</v>
      </c>
      <c r="D16" s="7" t="s">
        <v>230</v>
      </c>
      <c r="E16" s="11" t="n">
        <v>120000</v>
      </c>
      <c r="F16" s="11" t="n">
        <v>0</v>
      </c>
    </row>
    <row r="17" customFormat="false" ht="15" hidden="false" customHeight="false" outlineLevel="0" collapsed="false">
      <c r="A17" s="7" t="s">
        <v>127</v>
      </c>
      <c r="B17" s="7" t="s">
        <v>231</v>
      </c>
      <c r="C17" s="7" t="s">
        <v>134</v>
      </c>
      <c r="D17" s="7" t="s">
        <v>218</v>
      </c>
      <c r="E17" s="11" t="n">
        <v>0</v>
      </c>
      <c r="F17" s="11" t="n">
        <v>36000</v>
      </c>
    </row>
    <row r="18" customFormat="false" ht="15" hidden="false" customHeight="false" outlineLevel="0" collapsed="false">
      <c r="A18" s="7" t="s">
        <v>147</v>
      </c>
      <c r="B18" s="7" t="s">
        <v>232</v>
      </c>
      <c r="C18" s="7" t="s">
        <v>68</v>
      </c>
      <c r="D18" s="7" t="s">
        <v>224</v>
      </c>
      <c r="E18" s="11" t="n">
        <v>80000</v>
      </c>
      <c r="F18" s="11" t="n">
        <v>0</v>
      </c>
    </row>
    <row r="19" customFormat="false" ht="15" hidden="false" customHeight="false" outlineLevel="0" collapsed="false">
      <c r="A19" s="7" t="s">
        <v>157</v>
      </c>
      <c r="B19" s="7" t="s">
        <v>233</v>
      </c>
      <c r="C19" s="7" t="s">
        <v>234</v>
      </c>
      <c r="D19" s="7" t="s">
        <v>206</v>
      </c>
      <c r="E19" s="11" t="n">
        <v>0</v>
      </c>
      <c r="F19" s="11" t="n">
        <v>12000</v>
      </c>
    </row>
    <row r="20" customFormat="false" ht="15" hidden="false" customHeight="false" outlineLevel="0" collapsed="false">
      <c r="A20" s="7" t="s">
        <v>157</v>
      </c>
      <c r="B20" s="7" t="s">
        <v>235</v>
      </c>
      <c r="C20" s="7" t="s">
        <v>234</v>
      </c>
      <c r="D20" s="7" t="s">
        <v>236</v>
      </c>
      <c r="E20" s="11" t="n">
        <v>140000</v>
      </c>
      <c r="F20" s="11" t="n">
        <v>0</v>
      </c>
    </row>
    <row r="21" customFormat="false" ht="15" hidden="false" customHeight="false" outlineLevel="0" collapsed="false">
      <c r="A21" s="7" t="s">
        <v>168</v>
      </c>
      <c r="B21" s="7" t="s">
        <v>237</v>
      </c>
      <c r="C21" s="7" t="s">
        <v>79</v>
      </c>
      <c r="D21" s="7" t="s">
        <v>218</v>
      </c>
      <c r="E21" s="11" t="n">
        <v>0</v>
      </c>
      <c r="F21" s="11" t="n">
        <v>48000</v>
      </c>
    </row>
    <row r="22" customFormat="false" ht="15" hidden="false" customHeight="false" outlineLevel="0" collapsed="false">
      <c r="A22" s="7" t="s">
        <v>168</v>
      </c>
      <c r="B22" s="7" t="s">
        <v>238</v>
      </c>
      <c r="C22" s="7" t="s">
        <v>79</v>
      </c>
      <c r="D22" s="7" t="s">
        <v>216</v>
      </c>
      <c r="E22" s="11" t="n">
        <v>0</v>
      </c>
      <c r="F22" s="11" t="n">
        <v>24000</v>
      </c>
    </row>
    <row r="23" customFormat="false" ht="15" hidden="false" customHeight="false" outlineLevel="0" collapsed="false">
      <c r="A23" s="7" t="s">
        <v>188</v>
      </c>
      <c r="B23" s="7" t="s">
        <v>239</v>
      </c>
      <c r="C23" s="7" t="s">
        <v>226</v>
      </c>
      <c r="D23" s="7" t="s">
        <v>240</v>
      </c>
      <c r="E23" s="11" t="n">
        <v>28000</v>
      </c>
      <c r="F23" s="11" t="n">
        <v>0</v>
      </c>
    </row>
    <row r="24" customFormat="false" ht="15" hidden="false" customHeight="false" outlineLevel="0" collapsed="false">
      <c r="A24" s="7" t="s">
        <v>138</v>
      </c>
      <c r="B24" s="7" t="s">
        <v>241</v>
      </c>
      <c r="C24" s="7" t="s">
        <v>79</v>
      </c>
      <c r="D24" s="7" t="s">
        <v>218</v>
      </c>
      <c r="E24" s="11" t="n">
        <v>0</v>
      </c>
      <c r="F24" s="11" t="n">
        <v>18000</v>
      </c>
    </row>
    <row r="25" customFormat="false" ht="15" hidden="false" customHeight="false" outlineLevel="0" collapsed="false">
      <c r="A25" s="7" t="s">
        <v>242</v>
      </c>
      <c r="B25" s="7" t="s">
        <v>243</v>
      </c>
      <c r="C25" s="7" t="s">
        <v>220</v>
      </c>
      <c r="D25" s="7" t="s">
        <v>244</v>
      </c>
      <c r="E25" s="11" t="n">
        <v>60000</v>
      </c>
      <c r="F25" s="11" t="n">
        <v>0</v>
      </c>
    </row>
    <row r="26" customFormat="false" ht="15" hidden="false" customHeight="false" outlineLevel="0" collapsed="false">
      <c r="D26" s="12" t="s">
        <v>245</v>
      </c>
      <c r="E26" s="13" t="n">
        <f aca="false">SUM(E3:E25)</f>
        <v>871000</v>
      </c>
      <c r="F26" s="13" t="n">
        <f aca="false">SUM(F3:F25)</f>
        <v>407000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9" t="s">
        <v>246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4" t="s">
        <v>247</v>
      </c>
      <c r="B2" s="15" t="s">
        <v>248</v>
      </c>
      <c r="C2" s="15"/>
      <c r="D2" s="15"/>
      <c r="E2" s="15"/>
      <c r="F2" s="15"/>
    </row>
    <row r="3" customFormat="false" ht="15" hidden="false" customHeight="false" outlineLevel="0" collapsed="false">
      <c r="A3" s="14"/>
      <c r="B3" s="16" t="s">
        <v>249</v>
      </c>
      <c r="C3" s="16" t="s">
        <v>250</v>
      </c>
      <c r="D3" s="16" t="s">
        <v>251</v>
      </c>
      <c r="E3" s="16" t="s">
        <v>252</v>
      </c>
      <c r="F3" s="16" t="s">
        <v>253</v>
      </c>
    </row>
    <row r="4" customFormat="false" ht="49.5" hidden="false" customHeight="true" outlineLevel="0" collapsed="false">
      <c r="A4" s="17" t="s">
        <v>254</v>
      </c>
      <c r="B4" s="18"/>
      <c r="C4" s="19"/>
      <c r="D4" s="20"/>
      <c r="E4" s="21"/>
      <c r="F4" s="21" t="s">
        <v>255</v>
      </c>
    </row>
    <row r="5" customFormat="false" ht="49.5" hidden="false" customHeight="true" outlineLevel="0" collapsed="false">
      <c r="A5" s="17" t="s">
        <v>256</v>
      </c>
      <c r="B5" s="18"/>
      <c r="C5" s="19" t="s">
        <v>257</v>
      </c>
      <c r="D5" s="19"/>
      <c r="E5" s="20" t="s">
        <v>258</v>
      </c>
      <c r="F5" s="21" t="s">
        <v>259</v>
      </c>
    </row>
    <row r="6" customFormat="false" ht="49.5" hidden="false" customHeight="true" outlineLevel="0" collapsed="false">
      <c r="A6" s="17" t="s">
        <v>260</v>
      </c>
      <c r="B6" s="22"/>
      <c r="C6" s="18"/>
      <c r="D6" s="19" t="s">
        <v>261</v>
      </c>
      <c r="E6" s="19" t="s">
        <v>262</v>
      </c>
      <c r="F6" s="20"/>
    </row>
    <row r="7" customFormat="false" ht="49.5" hidden="false" customHeight="true" outlineLevel="0" collapsed="false">
      <c r="A7" s="17" t="s">
        <v>263</v>
      </c>
      <c r="B7" s="22"/>
      <c r="C7" s="22"/>
      <c r="D7" s="18"/>
      <c r="E7" s="19" t="s">
        <v>264</v>
      </c>
      <c r="F7" s="19" t="s">
        <v>265</v>
      </c>
    </row>
    <row r="8" customFormat="false" ht="49.5" hidden="false" customHeight="true" outlineLevel="0" collapsed="false">
      <c r="A8" s="17" t="s">
        <v>266</v>
      </c>
      <c r="B8" s="23"/>
      <c r="C8" s="22"/>
      <c r="D8" s="22"/>
      <c r="E8" s="18"/>
      <c r="F8" s="19"/>
    </row>
    <row r="10" customFormat="false" ht="24" hidden="false" customHeight="true" outlineLevel="0" collapsed="false">
      <c r="A10" s="24" t="s">
        <v>267</v>
      </c>
      <c r="B10" s="25" t="s">
        <v>268</v>
      </c>
      <c r="C10" s="26" t="s">
        <v>269</v>
      </c>
      <c r="D10" s="27" t="s">
        <v>270</v>
      </c>
      <c r="E10" s="28" t="s">
        <v>271</v>
      </c>
      <c r="F10" s="29" t="s">
        <v>272</v>
      </c>
      <c r="G10" s="30" t="s">
        <v>273</v>
      </c>
    </row>
  </sheetData>
  <mergeCells count="3">
    <mergeCell ref="A1:G1"/>
    <mergeCell ref="A2:A3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2026-05-26T21:28:17Z</dcterms:created>
  <dc:creator>openpyxl</dc:creator>
  <dc:description/>
  <dc:language>en-US</dc:language>
  <cp:lastModifiedBy/>
  <dcterms:modified xsi:type="dcterms:W3CDTF">2026-05-26T21:28:17Z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